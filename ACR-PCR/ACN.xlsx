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laviationgroup-my.sharepoint.com/personal/jgazon_aslairlines_com/Documents/Documents/ASLB/"/>
    </mc:Choice>
  </mc:AlternateContent>
  <xr:revisionPtr revIDLastSave="0" documentId="8_{2BED38DA-1C3B-4817-8495-DCDBD36BE433}" xr6:coauthVersionLast="47" xr6:coauthVersionMax="47" xr10:uidLastSave="{00000000-0000-0000-0000-000000000000}"/>
  <bookViews>
    <workbookView xWindow="28680" yWindow="-120" windowWidth="29040" windowHeight="15720" xr2:uid="{8CA12AFB-3DB5-434B-B1B4-FDB652974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5" i="1" l="1"/>
  <c r="M35" i="1"/>
  <c r="L35" i="1"/>
  <c r="K35" i="1"/>
  <c r="J35" i="1"/>
  <c r="I35" i="1"/>
  <c r="H35" i="1"/>
  <c r="G35" i="1"/>
  <c r="N26" i="1"/>
  <c r="M26" i="1"/>
  <c r="L26" i="1"/>
  <c r="K26" i="1"/>
  <c r="J26" i="1"/>
  <c r="I26" i="1"/>
  <c r="H26" i="1"/>
  <c r="G26" i="1"/>
  <c r="H24" i="1"/>
  <c r="N17" i="1"/>
  <c r="M17" i="1"/>
  <c r="L17" i="1"/>
  <c r="K17" i="1"/>
  <c r="J17" i="1"/>
  <c r="I17" i="1"/>
  <c r="H17" i="1"/>
  <c r="G17" i="1"/>
  <c r="N8" i="1"/>
  <c r="M8" i="1"/>
  <c r="L8" i="1"/>
  <c r="K8" i="1"/>
  <c r="J8" i="1"/>
  <c r="I8" i="1"/>
  <c r="H8" i="1"/>
  <c r="G8" i="1"/>
</calcChain>
</file>

<file path=xl/sharedStrings.xml><?xml version="1.0" encoding="utf-8"?>
<sst xmlns="http://schemas.openxmlformats.org/spreadsheetml/2006/main" count="55" uniqueCount="21">
  <si>
    <t>B737-400</t>
  </si>
  <si>
    <t xml:space="preserve">ACN FOR RIGID PAVEMENT </t>
  </si>
  <si>
    <t xml:space="preserve">ACN FOR FLEXIBLE PAVEMENT </t>
  </si>
  <si>
    <t>RA</t>
  </si>
  <si>
    <t>RB</t>
  </si>
  <si>
    <t>RC</t>
  </si>
  <si>
    <t>RD</t>
  </si>
  <si>
    <t>FA</t>
  </si>
  <si>
    <t>FB</t>
  </si>
  <si>
    <t>FC</t>
  </si>
  <si>
    <t>FD</t>
  </si>
  <si>
    <t>PCN</t>
  </si>
  <si>
    <t>B737-800</t>
  </si>
  <si>
    <t>Rigid</t>
  </si>
  <si>
    <t>OE-ILC</t>
  </si>
  <si>
    <t>B747F</t>
  </si>
  <si>
    <t>Flex</t>
  </si>
  <si>
    <t>MLW</t>
  </si>
  <si>
    <t>296T</t>
  </si>
  <si>
    <t xml:space="preserve"> </t>
  </si>
  <si>
    <t>B747ERF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</si>
</sst>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44BD-8C92-4A01-A9C2-86030138F6FB}">
  <dimension ref="B1:N35"/>
  <sheetViews>
    <sheetView tabSelected="1" workbookViewId="0">
      <selection activeCell="V22" sqref="V22"/>
    </sheetView>
  </sheetViews>
  <sheetFormatPr defaultRowHeight="14.4" x14ac:dyDescent="0.3"/>
  <sheetData>
    <row r="1" spans="3:14" x14ac:dyDescent="0.3">
      <c r="F1" s="1" t="s">
        <v>0</v>
      </c>
      <c r="G1" s="2" t="s">
        <v>1</v>
      </c>
      <c r="H1" s="2"/>
      <c r="I1" s="2"/>
      <c r="J1" s="2"/>
      <c r="K1" s="2" t="s">
        <v>2</v>
      </c>
      <c r="L1" s="2"/>
      <c r="M1" s="2"/>
      <c r="N1" s="2"/>
    </row>
    <row r="2" spans="3:14" x14ac:dyDescent="0.3"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</row>
    <row r="3" spans="3:14" x14ac:dyDescent="0.3">
      <c r="C3">
        <v>65090</v>
      </c>
      <c r="F3" s="4">
        <v>68266</v>
      </c>
      <c r="G3" s="3">
        <v>42</v>
      </c>
      <c r="H3" s="3">
        <v>44</v>
      </c>
      <c r="I3" s="3">
        <v>47</v>
      </c>
      <c r="J3" s="3">
        <v>48</v>
      </c>
      <c r="K3" s="3">
        <v>37</v>
      </c>
      <c r="L3" s="3">
        <v>39</v>
      </c>
      <c r="M3" s="3">
        <v>44</v>
      </c>
      <c r="N3" s="3">
        <v>48</v>
      </c>
    </row>
    <row r="4" spans="3:14" x14ac:dyDescent="0.3">
      <c r="C4">
        <v>54884</v>
      </c>
      <c r="F4" s="4">
        <v>33643</v>
      </c>
      <c r="G4" s="3">
        <v>18</v>
      </c>
      <c r="H4" s="3">
        <v>19</v>
      </c>
      <c r="I4" s="3">
        <v>20</v>
      </c>
      <c r="J4" s="3">
        <v>21</v>
      </c>
      <c r="K4" s="3">
        <v>16</v>
      </c>
      <c r="L4" s="3">
        <v>17</v>
      </c>
      <c r="M4" s="3">
        <v>18</v>
      </c>
      <c r="N4" s="3">
        <v>21</v>
      </c>
    </row>
    <row r="5" spans="3:14" x14ac:dyDescent="0.3">
      <c r="G5" s="3"/>
      <c r="H5" s="3"/>
      <c r="I5" s="3"/>
      <c r="J5" s="3"/>
      <c r="K5" s="3"/>
      <c r="L5" s="3"/>
      <c r="M5" s="3"/>
      <c r="N5" s="3"/>
    </row>
    <row r="6" spans="3:14" x14ac:dyDescent="0.3">
      <c r="F6" s="5" t="s">
        <v>11</v>
      </c>
      <c r="G6" s="6">
        <v>62</v>
      </c>
      <c r="H6" s="6">
        <v>42</v>
      </c>
      <c r="I6" s="6">
        <v>43.5</v>
      </c>
      <c r="J6" s="6">
        <v>31.5</v>
      </c>
      <c r="K6" s="6">
        <v>35.200000000000003</v>
      </c>
      <c r="L6" s="6">
        <v>38.5</v>
      </c>
      <c r="M6" s="6">
        <v>17.600000000000001</v>
      </c>
      <c r="N6" s="6">
        <v>48</v>
      </c>
    </row>
    <row r="7" spans="3:14" x14ac:dyDescent="0.3">
      <c r="G7" s="3"/>
      <c r="H7" s="3"/>
      <c r="I7" s="3"/>
      <c r="J7" s="3"/>
      <c r="K7" s="3"/>
      <c r="L7" s="3"/>
      <c r="M7" s="3"/>
      <c r="N7" s="3"/>
    </row>
    <row r="8" spans="3:14" x14ac:dyDescent="0.3">
      <c r="G8" s="7">
        <f>$F$40-(((G3-G6)/(G3-G4)*($F$40-$F$41)))</f>
        <v>0</v>
      </c>
      <c r="H8" s="7">
        <f t="shared" ref="H8:N8" si="0">$F$40-(((H3-H6)/(H3-H4)*($F$40-$F$41)))</f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 t="shared" si="0"/>
        <v>0</v>
      </c>
    </row>
    <row r="10" spans="3:14" x14ac:dyDescent="0.3">
      <c r="F10" s="1" t="s">
        <v>12</v>
      </c>
      <c r="G10" s="2" t="s">
        <v>1</v>
      </c>
      <c r="H10" s="2"/>
      <c r="I10" s="2"/>
      <c r="J10" s="2"/>
      <c r="K10" s="2" t="s">
        <v>2</v>
      </c>
      <c r="L10" s="2"/>
      <c r="M10" s="2"/>
      <c r="N10" s="2"/>
    </row>
    <row r="11" spans="3:14" x14ac:dyDescent="0.3">
      <c r="G11" s="3" t="s">
        <v>3</v>
      </c>
      <c r="H11" s="3" t="s">
        <v>4</v>
      </c>
      <c r="I11" s="3" t="s">
        <v>5</v>
      </c>
      <c r="J11" s="3" t="s">
        <v>6</v>
      </c>
      <c r="K11" s="3" t="s">
        <v>7</v>
      </c>
      <c r="L11" s="3" t="s">
        <v>8</v>
      </c>
      <c r="M11" s="3" t="s">
        <v>9</v>
      </c>
      <c r="N11" s="3" t="s">
        <v>10</v>
      </c>
    </row>
    <row r="12" spans="3:14" x14ac:dyDescent="0.3">
      <c r="C12">
        <v>70533</v>
      </c>
      <c r="F12" s="4">
        <v>79242</v>
      </c>
      <c r="G12" s="3">
        <v>49</v>
      </c>
      <c r="H12" s="3">
        <v>52</v>
      </c>
      <c r="I12" s="3">
        <v>54</v>
      </c>
      <c r="J12" s="3">
        <v>56</v>
      </c>
      <c r="K12" s="3">
        <v>43</v>
      </c>
      <c r="L12" s="3">
        <v>45</v>
      </c>
      <c r="M12" s="3">
        <v>50</v>
      </c>
      <c r="N12" s="3">
        <v>55</v>
      </c>
    </row>
    <row r="13" spans="3:14" x14ac:dyDescent="0.3">
      <c r="C13">
        <v>65317</v>
      </c>
      <c r="F13" s="4">
        <v>41413</v>
      </c>
      <c r="G13" s="3">
        <v>23</v>
      </c>
      <c r="H13" s="3">
        <v>24</v>
      </c>
      <c r="I13" s="3">
        <v>25</v>
      </c>
      <c r="J13" s="3">
        <v>27</v>
      </c>
      <c r="K13" s="3">
        <v>20</v>
      </c>
      <c r="L13" s="3">
        <v>21</v>
      </c>
      <c r="M13" s="3">
        <v>22</v>
      </c>
      <c r="N13" s="3">
        <v>26</v>
      </c>
    </row>
    <row r="14" spans="3:14" x14ac:dyDescent="0.3">
      <c r="G14" s="3"/>
      <c r="H14" s="3"/>
      <c r="I14" s="3"/>
      <c r="J14" s="3"/>
      <c r="K14" s="3"/>
      <c r="L14" s="3"/>
      <c r="M14" s="3"/>
      <c r="N14" s="3"/>
    </row>
    <row r="15" spans="3:14" x14ac:dyDescent="0.3">
      <c r="F15" s="5" t="s">
        <v>11</v>
      </c>
      <c r="G15" s="6">
        <v>45.15</v>
      </c>
      <c r="H15" s="6">
        <v>35.700000000000003</v>
      </c>
      <c r="I15" s="6">
        <v>43.5</v>
      </c>
      <c r="J15" s="6">
        <v>62</v>
      </c>
      <c r="K15" s="6">
        <v>35.200000000000003</v>
      </c>
      <c r="L15" s="6">
        <v>39</v>
      </c>
      <c r="M15" s="6">
        <v>17.600000000000001</v>
      </c>
      <c r="N15" s="6">
        <v>26</v>
      </c>
    </row>
    <row r="16" spans="3:14" x14ac:dyDescent="0.3">
      <c r="G16" s="3"/>
      <c r="H16" s="3"/>
      <c r="I16" s="3"/>
      <c r="J16" s="3"/>
      <c r="K16" s="3"/>
      <c r="L16" s="3"/>
      <c r="M16" s="3"/>
      <c r="N16" s="3"/>
    </row>
    <row r="17" spans="2:14" x14ac:dyDescent="0.3">
      <c r="G17" s="7">
        <f>$F$49-(((G12-G15)/(G12-G13)*($F$49-$F$50)))</f>
        <v>0</v>
      </c>
      <c r="H17" s="8">
        <f t="shared" ref="H17:N17" si="1">$F$49-(((H12-H15)/(H12-H13)*($F$49-$F$50)))</f>
        <v>0</v>
      </c>
      <c r="I17" s="8">
        <f t="shared" si="1"/>
        <v>0</v>
      </c>
      <c r="J17" s="8">
        <f t="shared" si="1"/>
        <v>0</v>
      </c>
      <c r="K17" s="8">
        <f t="shared" si="1"/>
        <v>0</v>
      </c>
      <c r="L17" s="8">
        <f t="shared" si="1"/>
        <v>0</v>
      </c>
      <c r="M17" s="8">
        <f t="shared" si="1"/>
        <v>0</v>
      </c>
      <c r="N17" s="8">
        <f t="shared" si="1"/>
        <v>0</v>
      </c>
    </row>
    <row r="19" spans="2:14" x14ac:dyDescent="0.3">
      <c r="B19" t="s">
        <v>13</v>
      </c>
      <c r="C19" s="9">
        <v>0.05</v>
      </c>
      <c r="E19" s="10" t="s">
        <v>14</v>
      </c>
      <c r="F19" s="1" t="s">
        <v>15</v>
      </c>
      <c r="G19" s="2" t="s">
        <v>1</v>
      </c>
      <c r="H19" s="2"/>
      <c r="I19" s="2"/>
      <c r="J19" s="2"/>
      <c r="K19" s="2" t="s">
        <v>2</v>
      </c>
      <c r="L19" s="2"/>
      <c r="M19" s="2"/>
      <c r="N19" s="2"/>
    </row>
    <row r="20" spans="2:14" x14ac:dyDescent="0.3">
      <c r="B20" t="s">
        <v>16</v>
      </c>
      <c r="C20" s="9">
        <v>0.1</v>
      </c>
      <c r="G20" s="3" t="s">
        <v>3</v>
      </c>
      <c r="H20" s="3" t="s">
        <v>4</v>
      </c>
      <c r="I20" s="3" t="s">
        <v>5</v>
      </c>
      <c r="J20" s="3" t="s">
        <v>6</v>
      </c>
      <c r="K20" s="3" t="s">
        <v>7</v>
      </c>
      <c r="L20" s="3" t="s">
        <v>8</v>
      </c>
      <c r="M20" s="3" t="s">
        <v>9</v>
      </c>
      <c r="N20" s="3" t="s">
        <v>10</v>
      </c>
    </row>
    <row r="21" spans="2:14" x14ac:dyDescent="0.3">
      <c r="E21" s="4">
        <v>877000</v>
      </c>
      <c r="F21" s="4">
        <v>397801</v>
      </c>
      <c r="G21" s="3">
        <v>53</v>
      </c>
      <c r="H21" s="3">
        <v>62</v>
      </c>
      <c r="I21" s="3">
        <v>74</v>
      </c>
      <c r="J21" s="3">
        <v>85</v>
      </c>
      <c r="K21" s="3">
        <v>53</v>
      </c>
      <c r="L21" s="3">
        <v>59</v>
      </c>
      <c r="M21" s="3">
        <v>73</v>
      </c>
      <c r="N21" s="3">
        <v>94</v>
      </c>
    </row>
    <row r="22" spans="2:14" x14ac:dyDescent="0.3">
      <c r="E22" s="4">
        <v>395000</v>
      </c>
      <c r="F22" s="4">
        <v>179200</v>
      </c>
      <c r="G22" s="3">
        <v>19</v>
      </c>
      <c r="H22" s="3">
        <v>21</v>
      </c>
      <c r="I22" s="3">
        <v>25</v>
      </c>
      <c r="J22" s="3">
        <v>29</v>
      </c>
      <c r="K22" s="3">
        <v>20</v>
      </c>
      <c r="L22" s="3">
        <v>21</v>
      </c>
      <c r="M22" s="3">
        <v>23</v>
      </c>
      <c r="N22" s="3">
        <v>30</v>
      </c>
    </row>
    <row r="23" spans="2:14" x14ac:dyDescent="0.3">
      <c r="B23" s="11" t="s">
        <v>17</v>
      </c>
      <c r="C23" s="11" t="s">
        <v>18</v>
      </c>
      <c r="G23" s="3"/>
      <c r="H23" s="3"/>
      <c r="I23" s="3"/>
      <c r="J23" s="3"/>
      <c r="K23" s="3"/>
      <c r="L23" s="3"/>
      <c r="M23" s="3"/>
      <c r="N23" s="3"/>
    </row>
    <row r="24" spans="2:14" x14ac:dyDescent="0.3">
      <c r="E24" s="5"/>
      <c r="F24" s="5" t="s">
        <v>11</v>
      </c>
      <c r="G24" s="6">
        <v>52.5</v>
      </c>
      <c r="H24" s="3">
        <f>43+43*0.05</f>
        <v>45.15</v>
      </c>
      <c r="I24" s="3">
        <v>65.099999999999994</v>
      </c>
      <c r="J24" s="3">
        <v>29</v>
      </c>
      <c r="K24" s="6">
        <v>20</v>
      </c>
      <c r="L24" s="3">
        <v>21</v>
      </c>
      <c r="M24" s="3">
        <v>102.3</v>
      </c>
      <c r="N24" s="3">
        <v>30</v>
      </c>
    </row>
    <row r="25" spans="2:14" x14ac:dyDescent="0.3">
      <c r="E25" s="5"/>
      <c r="G25" s="3"/>
      <c r="H25" s="3"/>
      <c r="I25" s="3"/>
      <c r="J25" s="3"/>
      <c r="K25" s="3"/>
      <c r="L25" s="12" t="s">
        <v>19</v>
      </c>
      <c r="M25" s="3"/>
      <c r="N25" s="3"/>
    </row>
    <row r="26" spans="2:14" x14ac:dyDescent="0.3">
      <c r="G26" s="7">
        <f>$F$58-(((G21-G24)/(G21-G22)*($F$58-$F$59)))</f>
        <v>0</v>
      </c>
      <c r="H26" s="7">
        <f t="shared" ref="H26:N26" si="2">$F$58-(((H21-H24)/(H21-H22)*($F$58-$F$59)))</f>
        <v>0</v>
      </c>
      <c r="I26" s="7">
        <f t="shared" si="2"/>
        <v>0</v>
      </c>
      <c r="J26" s="7">
        <f t="shared" si="2"/>
        <v>0</v>
      </c>
      <c r="K26" s="7">
        <f t="shared" si="2"/>
        <v>0</v>
      </c>
      <c r="L26" s="7">
        <f t="shared" si="2"/>
        <v>0</v>
      </c>
      <c r="M26" s="7">
        <f t="shared" si="2"/>
        <v>0</v>
      </c>
      <c r="N26" s="7">
        <f t="shared" si="2"/>
        <v>0</v>
      </c>
    </row>
    <row r="28" spans="2:14" x14ac:dyDescent="0.3">
      <c r="F28" s="1" t="s">
        <v>20</v>
      </c>
      <c r="G28" s="2" t="s">
        <v>1</v>
      </c>
      <c r="H28" s="2"/>
      <c r="I28" s="2"/>
      <c r="J28" s="2"/>
      <c r="K28" s="2" t="s">
        <v>2</v>
      </c>
      <c r="L28" s="2"/>
      <c r="M28" s="2"/>
      <c r="N28" s="2"/>
    </row>
    <row r="29" spans="2:14" x14ac:dyDescent="0.3">
      <c r="G29" s="3" t="s">
        <v>3</v>
      </c>
      <c r="H29" s="3" t="s">
        <v>4</v>
      </c>
      <c r="I29" s="3" t="s">
        <v>5</v>
      </c>
      <c r="J29" s="3" t="s">
        <v>6</v>
      </c>
      <c r="K29" s="3" t="s">
        <v>7</v>
      </c>
      <c r="L29" s="3" t="s">
        <v>8</v>
      </c>
      <c r="M29" s="3" t="s">
        <v>9</v>
      </c>
      <c r="N29" s="3" t="s">
        <v>10</v>
      </c>
    </row>
    <row r="30" spans="2:14" x14ac:dyDescent="0.3">
      <c r="E30" s="4">
        <v>913000</v>
      </c>
      <c r="F30" s="4">
        <v>414130</v>
      </c>
      <c r="G30" s="3">
        <v>59</v>
      </c>
      <c r="H30" s="3">
        <v>69</v>
      </c>
      <c r="I30" s="3">
        <v>81</v>
      </c>
      <c r="J30" s="3">
        <v>92</v>
      </c>
      <c r="K30" s="3">
        <v>57</v>
      </c>
      <c r="L30" s="3">
        <v>63</v>
      </c>
      <c r="M30" s="3">
        <v>78</v>
      </c>
      <c r="N30" s="3">
        <v>100</v>
      </c>
    </row>
    <row r="31" spans="2:14" x14ac:dyDescent="0.3">
      <c r="E31" s="4">
        <v>362400</v>
      </c>
      <c r="F31" s="4">
        <v>164400</v>
      </c>
      <c r="G31" s="3">
        <v>19</v>
      </c>
      <c r="H31" s="3">
        <v>20</v>
      </c>
      <c r="I31" s="3">
        <v>23</v>
      </c>
      <c r="J31" s="3">
        <v>27</v>
      </c>
      <c r="K31" s="3">
        <v>18</v>
      </c>
      <c r="L31" s="3">
        <v>19</v>
      </c>
      <c r="M31" s="3">
        <v>21</v>
      </c>
      <c r="N31" s="3">
        <v>26</v>
      </c>
    </row>
    <row r="32" spans="2:14" x14ac:dyDescent="0.3">
      <c r="G32" s="3"/>
      <c r="H32" s="3"/>
      <c r="I32" s="3"/>
      <c r="J32" s="3"/>
      <c r="K32" s="3"/>
      <c r="L32" s="3"/>
      <c r="M32" s="3"/>
      <c r="N32" s="3"/>
    </row>
    <row r="33" spans="5:14" x14ac:dyDescent="0.3">
      <c r="E33" s="5"/>
      <c r="F33" s="5" t="s">
        <v>11</v>
      </c>
      <c r="G33" s="6">
        <v>59</v>
      </c>
      <c r="H33" s="3">
        <v>57.75</v>
      </c>
      <c r="I33" s="3">
        <v>68.25</v>
      </c>
      <c r="J33" s="3">
        <v>66.150000000000006</v>
      </c>
      <c r="K33" s="6">
        <v>40</v>
      </c>
      <c r="L33" s="3">
        <v>49.5</v>
      </c>
      <c r="M33" s="3">
        <v>102.3</v>
      </c>
      <c r="N33" s="3">
        <v>83.6</v>
      </c>
    </row>
    <row r="34" spans="5:14" x14ac:dyDescent="0.3">
      <c r="E34" s="5"/>
      <c r="G34" s="3"/>
      <c r="H34" s="3"/>
      <c r="I34" s="3"/>
      <c r="J34" s="3"/>
      <c r="K34" s="3"/>
      <c r="L34" s="12" t="s">
        <v>19</v>
      </c>
      <c r="M34" s="3"/>
      <c r="N34" s="3"/>
    </row>
    <row r="35" spans="5:14" x14ac:dyDescent="0.3">
      <c r="G35" s="7">
        <f t="shared" ref="G35:N35" si="3">$F$13-(((G30-G33)/(G30-G31)*($F$13-$F$14)))</f>
        <v>41413</v>
      </c>
      <c r="H35" s="7">
        <f t="shared" si="3"/>
        <v>31904.913265306124</v>
      </c>
      <c r="I35" s="7">
        <f t="shared" si="3"/>
        <v>32309.280172413793</v>
      </c>
      <c r="J35" s="7">
        <f t="shared" si="3"/>
        <v>24943.368461538463</v>
      </c>
      <c r="K35" s="7">
        <f t="shared" si="3"/>
        <v>23361.179487179488</v>
      </c>
      <c r="L35" s="7">
        <f t="shared" si="3"/>
        <v>28706.738636363636</v>
      </c>
      <c r="M35" s="7">
        <f t="shared" si="3"/>
        <v>59068.015789473677</v>
      </c>
      <c r="N35" s="7">
        <f t="shared" si="3"/>
        <v>32234.98378378378</v>
      </c>
    </row>
  </sheetData>
  <mergeCells count="8">
    <mergeCell ref="G28:J28"/>
    <mergeCell ref="K28:N28"/>
    <mergeCell ref="G1:J1"/>
    <mergeCell ref="K1:N1"/>
    <mergeCell ref="G10:J10"/>
    <mergeCell ref="K10:N10"/>
    <mergeCell ref="G19:J19"/>
    <mergeCell ref="K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Gazon Jonathan</dc:creator>
  <cp:lastModifiedBy>Gazon Jonathan</cp:lastModifiedBy>
  <dcterms:created xsi:type="dcterms:W3CDTF">2026-08-18T11:45:48Z</dcterms:created>
  <dcterms:modified xsi:type="dcterms:W3CDTF">2026-08-18T11:46:08Z</dcterms:modified>
</cp:coreProperties>
</file>